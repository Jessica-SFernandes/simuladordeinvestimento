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D5634130-6A4A-4788-B5E0-4AA58BFFC5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 Financeiro" sheetId="1" r:id="rId1"/>
    <sheet name="Chave" sheetId="2" r:id="rId2"/>
  </sheets>
  <definedNames>
    <definedName name="aporte">'Simulador Financeiro'!$D$19:$D$19</definedName>
    <definedName name="patrimonio">'Simulador Financeiro'!$D$22:$D$22</definedName>
    <definedName name="qtd_anos">'Simulador Financeiro'!$D$20:$D$20</definedName>
    <definedName name="rendimento_carteira">'Simulador Financeiro'!$D$15:$D$15</definedName>
    <definedName name="salario">'Simulador Financeiro'!$D$14:$D$14</definedName>
    <definedName name="sugestao_investimento">'Simulador Financeiro'!$D$16:$D$16</definedName>
    <definedName name="taxa_mensal">'Simulador Financeiro'!$D$21:$D$21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37" i="1"/>
  <c r="C38" i="1"/>
  <c r="C39" i="1"/>
  <c r="C40" i="1"/>
  <c r="C36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 a="1"/>
  <c r="C33" i="1"/>
  <c r="C26" i="1"/>
  <c r="D22" i="1" a="1"/>
  <c r="D22" i="1"/>
  <c r="D23" i="1" s="1" a="1"/>
  <c r="D23" i="1" s="1"/>
  <c r="D16" i="1"/>
  <c r="C27" i="1"/>
  <c r="D27" i="1" s="1" a="1"/>
  <c r="D27" i="1" s="1"/>
  <c r="C28" i="1"/>
  <c r="D28" i="1" s="1" a="1"/>
  <c r="D28" i="1" s="1"/>
  <c r="C29" i="1"/>
  <c r="D29" i="1" s="1" a="1"/>
  <c r="D29" i="1" s="1"/>
  <c r="C30" i="1"/>
  <c r="D30" i="1" s="1" a="1"/>
  <c r="D30" i="1" s="1"/>
  <c r="D26" i="1" a="1"/>
  <c r="D26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<sst xmlns="http://schemas.openxmlformats.org/spreadsheetml/2006/main" count="69" uniqueCount="33">
  <si>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</si>
  <si>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</si>
  <si>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</si>
  <si>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</t>
  </si>
  <si>
    <t>INVESTIMENTO MENSAL</t>
  </si>
  <si>
    <t>Quanto vou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</si>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</sst>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0">
    <font>
      <sz val="11"/>
      <color theme="1"/>
      <name val="Calibri"/>
      <family val="2"/>
      <scheme val="minor"/>
    </font>
    <font>
      <sz val="11"/>
      <color rgb="FF9C57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b/>
      <sz val="20"/>
      <color theme="0"/>
      <name val="Segoe UI"/>
    </font>
    <font>
      <b/>
      <sz val="20"/>
      <color rgb="FFFFFFFF"/>
      <name val="Segoe UI"/>
    </font>
    <font>
      <b/>
      <sz val="15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0266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rgb="FF000000"/>
      </right>
      <top/>
      <bottom style="thin">
        <color theme="2" tint="-9.9978637043366805E-2"/>
      </bottom>
      <diagonal/>
    </border>
    <border>
      <left/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medium">
        <color rgb="FF000000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/>
      <diagonal/>
    </border>
    <border>
      <left style="medium">
        <color rgb="FF000000"/>
      </left>
      <right style="thin">
        <color theme="0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0"/>
      </left>
      <right style="thin">
        <color theme="2" tint="-9.9978637043366805E-2"/>
      </right>
      <top/>
      <bottom style="medium">
        <color rgb="FF000000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0" xfId="0" applyBorder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6" fillId="0" borderId="18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9" xfId="0" applyNumberFormat="1" applyFont="1" applyBorder="1" applyAlignment="1">
      <alignment horizontal="center" vertical="center"/>
    </xf>
    <xf numFmtId="8" fontId="6" fillId="3" borderId="19" xfId="0" applyNumberFormat="1" applyFont="1" applyFill="1" applyBorder="1" applyAlignment="1">
      <alignment horizontal="center" vertical="center"/>
    </xf>
    <xf numFmtId="8" fontId="6" fillId="3" borderId="20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indent="2"/>
    </xf>
    <xf numFmtId="0" fontId="5" fillId="3" borderId="8" xfId="0" applyFont="1" applyFill="1" applyBorder="1" applyAlignment="1">
      <alignment horizontal="left" indent="2"/>
    </xf>
    <xf numFmtId="0" fontId="5" fillId="3" borderId="10" xfId="0" applyFont="1" applyFill="1" applyBorder="1" applyAlignment="1">
      <alignment horizontal="left" indent="2"/>
    </xf>
    <xf numFmtId="0" fontId="5" fillId="3" borderId="9" xfId="0" applyFont="1" applyFill="1" applyBorder="1" applyAlignment="1">
      <alignment horizontal="left" indent="2"/>
    </xf>
    <xf numFmtId="0" fontId="5" fillId="3" borderId="12" xfId="0" applyFont="1" applyFill="1" applyBorder="1" applyAlignment="1">
      <alignment horizontal="left" indent="2"/>
    </xf>
    <xf numFmtId="0" fontId="5" fillId="3" borderId="21" xfId="0" applyFont="1" applyFill="1" applyBorder="1" applyAlignment="1">
      <alignment horizontal="left" indent="2"/>
    </xf>
    <xf numFmtId="0" fontId="5" fillId="0" borderId="15" xfId="0" applyFont="1" applyBorder="1" applyAlignment="1">
      <alignment horizontal="left" indent="2"/>
    </xf>
    <xf numFmtId="0" fontId="5" fillId="0" borderId="8" xfId="0" applyFont="1" applyBorder="1" applyAlignment="1">
      <alignment horizontal="left" indent="2"/>
    </xf>
    <xf numFmtId="0" fontId="5" fillId="0" borderId="10" xfId="0" applyFont="1" applyBorder="1" applyAlignment="1">
      <alignment horizontal="left" indent="2"/>
    </xf>
    <xf numFmtId="0" fontId="5" fillId="0" borderId="9" xfId="0" applyFont="1" applyBorder="1" applyAlignment="1">
      <alignment horizontal="left" indent="2"/>
    </xf>
    <xf numFmtId="0" fontId="6" fillId="3" borderId="10" xfId="0" applyFont="1" applyFill="1" applyBorder="1" applyAlignment="1">
      <alignment horizontal="left" indent="2"/>
    </xf>
    <xf numFmtId="0" fontId="6" fillId="3" borderId="9" xfId="0" applyFont="1" applyFill="1" applyBorder="1" applyAlignment="1">
      <alignment horizontal="left" indent="2"/>
    </xf>
    <xf numFmtId="0" fontId="6" fillId="3" borderId="12" xfId="0" applyFont="1" applyFill="1" applyBorder="1" applyAlignment="1">
      <alignment horizontal="left" indent="2"/>
    </xf>
    <xf numFmtId="0" fontId="6" fillId="3" borderId="21" xfId="0" applyFont="1" applyFill="1" applyBorder="1" applyAlignment="1">
      <alignment horizontal="left" indent="2"/>
    </xf>
    <xf numFmtId="0" fontId="9" fillId="4" borderId="14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165" fontId="5" fillId="3" borderId="22" xfId="0" applyNumberFormat="1" applyFont="1" applyFill="1" applyBorder="1" applyAlignment="1">
      <alignment horizontal="center" vertical="center"/>
    </xf>
    <xf numFmtId="165" fontId="5" fillId="3" borderId="17" xfId="0" applyNumberFormat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indent="2"/>
    </xf>
    <xf numFmtId="165" fontId="5" fillId="3" borderId="24" xfId="0" applyNumberFormat="1" applyFont="1" applyFill="1" applyBorder="1" applyAlignment="1">
      <alignment horizontal="center"/>
    </xf>
    <xf numFmtId="165" fontId="5" fillId="3" borderId="11" xfId="0" applyNumberFormat="1" applyFont="1" applyFill="1" applyBorder="1" applyAlignment="1">
      <alignment horizontal="center"/>
    </xf>
    <xf numFmtId="0" fontId="5" fillId="3" borderId="25" xfId="0" applyFont="1" applyFill="1" applyBorder="1" applyAlignment="1">
      <alignment horizontal="left" indent="2"/>
    </xf>
    <xf numFmtId="8" fontId="5" fillId="3" borderId="26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 indent="2"/>
    </xf>
    <xf numFmtId="165" fontId="5" fillId="3" borderId="27" xfId="0" applyNumberFormat="1" applyFont="1" applyFill="1" applyBorder="1" applyAlignment="1">
      <alignment horizontal="center" vertical="center"/>
    </xf>
    <xf numFmtId="165" fontId="5" fillId="3" borderId="28" xfId="0" applyNumberFormat="1" applyFont="1" applyFill="1" applyBorder="1" applyAlignment="1">
      <alignment horizontal="center"/>
    </xf>
    <xf numFmtId="165" fontId="6" fillId="5" borderId="18" xfId="0" applyNumberFormat="1" applyFont="1" applyFill="1" applyBorder="1" applyAlignment="1">
      <alignment horizontal="center"/>
    </xf>
    <xf numFmtId="10" fontId="6" fillId="5" borderId="19" xfId="0" applyNumberFormat="1" applyFont="1" applyFill="1" applyBorder="1" applyAlignment="1">
      <alignment horizontal="center"/>
    </xf>
    <xf numFmtId="165" fontId="6" fillId="5" borderId="20" xfId="0" applyNumberFormat="1" applyFont="1" applyFill="1" applyBorder="1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0" fontId="0" fillId="3" borderId="0" xfId="0" applyFill="1"/>
    <xf numFmtId="165" fontId="0" fillId="3" borderId="0" xfId="0" applyNumberForma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165" fontId="2" fillId="7" borderId="0" xfId="0" applyNumberFormat="1" applyFont="1" applyFill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/>
    <xf numFmtId="9" fontId="0" fillId="0" borderId="7" xfId="0" applyNumberForma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0266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'Simulador Financeiro'!$C$35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Financeiro'!$B$36:$B$41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Financeiro'!$C$36:$C$41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732-4D2F-AB7C-507F94388B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43</xdr:row>
      <xdr:rowOff>104775</xdr:rowOff>
    </xdr:from>
    <xdr:to>
      <xdr:col>3</xdr:col>
      <xdr:colOff>1171575</xdr:colOff>
      <xdr:row>61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0ABCCC-1F67-458A-DE14-C491CEECA230}"/>
            </a:ext>
            <a:ext uri="{147F2762-F138-4A5C-976F-8EAC2B608ADB}">
              <a16:predDERef xmlns:a16="http://schemas.microsoft.com/office/drawing/2014/main" pred="{72909238-4A3F-5202-B4EE-92C973438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1009650</xdr:colOff>
      <xdr:row>0</xdr:row>
      <xdr:rowOff>57150</xdr:rowOff>
    </xdr:from>
    <xdr:to>
      <xdr:col>3</xdr:col>
      <xdr:colOff>704850</xdr:colOff>
      <xdr:row>11</xdr:row>
      <xdr:rowOff>95250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817C1A-2400-C849-190F-AC30718E6129}"/>
            </a:ext>
            <a:ext uri="{147F2762-F138-4A5C-976F-8EAC2B608ADB}">
              <a16:predDERef xmlns:a16="http://schemas.microsoft.com/office/drawing/2014/main" pred="{280ABCCC-1F67-458A-DE14-C491CEEC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8122" t="13051" r="19456" b="43699"/>
        <a:stretch>
          <a:fillRect/>
        </a:stretch>
      </xdr:blipFill>
      <xdr:spPr>
        <a:xfrm>
          <a:off x="1485900" y="57150"/>
          <a:ext cx="5200650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K42"/>
  <sheetViews>
    <sheetView showGridLines="0" tabSelected="1" workbookViewId="0">
      <selection activeCell="D6" sqref="D6"/>
    </sheetView>
  </sheetViews>
  <sheetFormatPr defaultColWidth="0" defaultRowHeight="15"/>
  <cols>
    <col min="1" max="1" width="7.140625" customWidth="1"/>
    <col min="2" max="2" width="39.140625" customWidth="1"/>
    <col min="3" max="3" width="43.42578125" customWidth="1"/>
    <col min="4" max="4" width="29.28515625" customWidth="1"/>
    <col min="5" max="5" width="6.7109375" customWidth="1"/>
    <col min="6" max="6" width="3.7109375" customWidth="1"/>
    <col min="7" max="7" width="5.140625" customWidth="1"/>
    <col min="8" max="8" width="4.7109375" customWidth="1"/>
    <col min="9" max="11" width="9.140625" hidden="1" customWidth="1"/>
  </cols>
  <sheetData>
    <row r="13" spans="2:4" ht="30.75">
      <c r="B13" s="27" t="s">
        <v>0</v>
      </c>
      <c r="C13" s="28"/>
      <c r="D13" s="29"/>
    </row>
    <row r="14" spans="2:4" ht="15.75">
      <c r="B14" s="12" t="s">
        <v>1</v>
      </c>
      <c r="C14" s="13"/>
      <c r="D14" s="44">
        <v>2000</v>
      </c>
    </row>
    <row r="15" spans="2:4" ht="15.75">
      <c r="B15" s="14" t="s">
        <v>2</v>
      </c>
      <c r="C15" s="15"/>
      <c r="D15" s="45">
        <v>6.0000000000000001E-3</v>
      </c>
    </row>
    <row r="16" spans="2:4" ht="15.75">
      <c r="B16" s="16" t="s">
        <v>3</v>
      </c>
      <c r="C16" s="17"/>
      <c r="D16" s="46">
        <f>D14*30%</f>
        <v>600</v>
      </c>
    </row>
    <row r="17" spans="1:10">
      <c r="B17" s="5"/>
      <c r="C17" s="5"/>
    </row>
    <row r="18" spans="1:10" ht="30.75">
      <c r="B18" s="30" t="s">
        <v>4</v>
      </c>
      <c r="C18" s="31"/>
      <c r="D18" s="32"/>
    </row>
    <row r="19" spans="1:10" ht="15.75">
      <c r="B19" s="18" t="s">
        <v>5</v>
      </c>
      <c r="C19" s="19"/>
      <c r="D19" s="7">
        <v>200</v>
      </c>
    </row>
    <row r="20" spans="1:10" ht="15.75">
      <c r="B20" s="20" t="s">
        <v>6</v>
      </c>
      <c r="C20" s="21"/>
      <c r="D20" s="8">
        <v>5</v>
      </c>
      <c r="F20" s="5"/>
    </row>
    <row r="21" spans="1:10" ht="15.75">
      <c r="B21" s="20" t="s">
        <v>7</v>
      </c>
      <c r="C21" s="21"/>
      <c r="D21" s="9">
        <v>1.0789999999999999E-2</v>
      </c>
      <c r="G21" s="2"/>
    </row>
    <row r="22" spans="1:10" ht="15.75">
      <c r="B22" s="22" t="s">
        <v>8</v>
      </c>
      <c r="C22" s="23"/>
      <c r="D22" s="10" cm="1">
        <f t="array" ref="D22">FV(taxa_mensal,qtd_anos*12,aporte*-1)</f>
        <v>16755.382799697527</v>
      </c>
    </row>
    <row r="23" spans="1:10" ht="15.75">
      <c r="B23" s="24" t="s">
        <v>9</v>
      </c>
      <c r="C23" s="25"/>
      <c r="D23" s="11" cm="1">
        <f t="array" ref="D23">patrimonio*rendimento_carteira</f>
        <v>100.53229679818516</v>
      </c>
    </row>
    <row r="25" spans="1:10" ht="30.75">
      <c r="B25" s="30" t="s">
        <v>10</v>
      </c>
      <c r="C25" s="31"/>
      <c r="D25" s="26" t="s">
        <v>11</v>
      </c>
      <c r="F25" s="3"/>
    </row>
    <row r="26" spans="1:10" ht="15.75">
      <c r="B26" s="41" t="s">
        <v>12</v>
      </c>
      <c r="C26" s="42">
        <f>FV($D$21,$A27*12,$D$19*-1)</f>
        <v>5445.5254595290435</v>
      </c>
      <c r="D26" s="43" cm="1">
        <f t="array" ref="D26">C26*rendimento_carteira</f>
        <v>32.673152757174265</v>
      </c>
    </row>
    <row r="27" spans="1:10" ht="15.75">
      <c r="A27" s="1">
        <v>2</v>
      </c>
      <c r="B27" s="35" t="s">
        <v>13</v>
      </c>
      <c r="C27" s="33">
        <f>FV($D$21,$A28*12,$D$19*-1)</f>
        <v>16755.382799697527</v>
      </c>
      <c r="D27" s="36" cm="1">
        <f t="array" ref="D27">C27*rendimento_carteira</f>
        <v>100.53229679818516</v>
      </c>
    </row>
    <row r="28" spans="1:10" ht="15.75">
      <c r="A28" s="1">
        <v>5</v>
      </c>
      <c r="B28" s="35" t="s">
        <v>14</v>
      </c>
      <c r="C28" s="33">
        <f>FV($D$21,$A29*12,$D$19*-1)</f>
        <v>48656.842506034438</v>
      </c>
      <c r="D28" s="36" cm="1">
        <f t="array" ref="D28">C28*rendimento_carteira</f>
        <v>291.94105503620665</v>
      </c>
      <c r="I28" s="2"/>
      <c r="J28" s="2"/>
    </row>
    <row r="29" spans="1:10" ht="15.75">
      <c r="A29" s="1">
        <v>10</v>
      </c>
      <c r="B29" s="35" t="s">
        <v>15</v>
      </c>
      <c r="C29" s="34">
        <f>FV($D$21,$A30*12,$D$19*-1)</f>
        <v>225039.68001941612</v>
      </c>
      <c r="D29" s="37" cm="1">
        <f t="array" ref="D29">C29*rendimento_carteira</f>
        <v>1350.2380801164968</v>
      </c>
      <c r="I29" s="2"/>
      <c r="J29" s="2"/>
    </row>
    <row r="30" spans="1:10" ht="15.75">
      <c r="A30" s="1">
        <v>20</v>
      </c>
      <c r="B30" s="38" t="s">
        <v>16</v>
      </c>
      <c r="C30" s="39">
        <f>FV($D$21,$A31*12,$D$19*-1)</f>
        <v>864433.93100094295</v>
      </c>
      <c r="D30" s="40" cm="1">
        <f t="array" ref="D30">C30*rendimento_carteira</f>
        <v>5186.6035860056581</v>
      </c>
    </row>
    <row r="31" spans="1:10">
      <c r="A31" s="1">
        <v>30</v>
      </c>
    </row>
    <row r="32" spans="1:10">
      <c r="B32" s="47" t="s">
        <v>17</v>
      </c>
      <c r="C32" s="48" t="s">
        <v>18</v>
      </c>
      <c r="D32" s="47"/>
    </row>
    <row r="33" spans="2:4">
      <c r="B33" s="49" t="s">
        <v>19</v>
      </c>
      <c r="C33" s="50" cm="1">
        <f t="array" ref="C33">aporte</f>
        <v>200</v>
      </c>
      <c r="D33" s="49"/>
    </row>
    <row r="35" spans="2:4">
      <c r="B35" s="51" t="s">
        <v>20</v>
      </c>
      <c r="C35" s="51" t="s">
        <v>21</v>
      </c>
      <c r="D35" s="51" t="s">
        <v>22</v>
      </c>
    </row>
    <row r="36" spans="2:4">
      <c r="B36" s="6" t="s">
        <v>23</v>
      </c>
      <c r="C36" s="4">
        <f>VLOOKUP($C$32&amp;"-"&amp;B36,Chave!$A:$D,4,FALSE)</f>
        <v>0.32</v>
      </c>
      <c r="D36" s="50">
        <f>C36*$C$33</f>
        <v>64</v>
      </c>
    </row>
    <row r="37" spans="2:4">
      <c r="B37" s="6" t="s">
        <v>24</v>
      </c>
      <c r="C37" s="4">
        <f>VLOOKUP($C$32&amp;"-"&amp;B37,Chave!$A:$D,4,FALSE)</f>
        <v>0.35</v>
      </c>
      <c r="D37" s="50">
        <f t="shared" ref="D37:D42" si="0">C37*$C$33</f>
        <v>70</v>
      </c>
    </row>
    <row r="38" spans="2:4">
      <c r="B38" s="6" t="s">
        <v>25</v>
      </c>
      <c r="C38" s="4">
        <f>VLOOKUP($C$32&amp;"-"&amp;B38,Chave!$A:$D,4,FALSE)</f>
        <v>0.08</v>
      </c>
      <c r="D38" s="50">
        <f t="shared" si="0"/>
        <v>16</v>
      </c>
    </row>
    <row r="39" spans="2:4">
      <c r="B39" s="6" t="s">
        <v>26</v>
      </c>
      <c r="C39" s="4">
        <f>VLOOKUP($C$32&amp;"-"&amp;B39,Chave!$A:$D,4,FALSE)</f>
        <v>0.05</v>
      </c>
      <c r="D39" s="50">
        <f t="shared" si="0"/>
        <v>10</v>
      </c>
    </row>
    <row r="40" spans="2:4">
      <c r="B40" s="6" t="s">
        <v>27</v>
      </c>
      <c r="C40" s="4">
        <f>VLOOKUP($C$32&amp;"-"&amp;B40,Chave!$A:$D,4,FALSE)</f>
        <v>0.1</v>
      </c>
      <c r="D40" s="50">
        <f t="shared" si="0"/>
        <v>20</v>
      </c>
    </row>
    <row r="41" spans="2:4">
      <c r="B41" s="6" t="s">
        <v>28</v>
      </c>
      <c r="C41" s="4">
        <f>VLOOKUP($C$32&amp;"-"&amp;B41,Chave!$A:$D,4,FALSE)</f>
        <v>0.1</v>
      </c>
      <c r="D41" s="50">
        <f t="shared" si="0"/>
        <v>20</v>
      </c>
    </row>
    <row r="42" spans="2:4">
      <c r="B42" s="52"/>
      <c r="C42" s="52"/>
      <c r="D42" s="53">
        <f>SUM(D36:D41)</f>
        <v>200</v>
      </c>
    </row>
  </sheetData>
  <mergeCells count="11">
    <mergeCell ref="B25:C25"/>
    <mergeCell ref="B22:C22"/>
    <mergeCell ref="B23:C23"/>
    <mergeCell ref="B14:C14"/>
    <mergeCell ref="B15:C15"/>
    <mergeCell ref="B16:C16"/>
    <mergeCell ref="B18:D18"/>
    <mergeCell ref="B13:D13"/>
    <mergeCell ref="B19:C19"/>
    <mergeCell ref="B20:C20"/>
    <mergeCell ref="B21:C21"/>
  </mergeCells>
  <dataValidations count="1">
    <dataValidation type="list" allowBlank="1" showInputMessage="1" showErrorMessage="1" sqref="C32" xr:uid="{6F22CE7C-8191-4F2C-8917-C228ACA86DC2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B28E-FB23-4E81-A1F1-0A483AA12281}">
  <dimension ref="A2:D20"/>
  <sheetViews>
    <sheetView workbookViewId="0">
      <selection activeCell="E13" sqref="E13"/>
    </sheetView>
  </sheetViews>
  <sheetFormatPr defaultRowHeight="15"/>
  <cols>
    <col min="1" max="1" width="31.28515625" customWidth="1"/>
    <col min="2" max="2" width="13.7109375" customWidth="1"/>
    <col min="3" max="3" width="20.140625" customWidth="1"/>
    <col min="4" max="4" width="11" customWidth="1"/>
  </cols>
  <sheetData>
    <row r="2" spans="1:4">
      <c r="A2" s="57" t="s">
        <v>29</v>
      </c>
      <c r="B2" s="57" t="s">
        <v>17</v>
      </c>
      <c r="C2" s="54" t="s">
        <v>20</v>
      </c>
      <c r="D2" s="58" t="s">
        <v>30</v>
      </c>
    </row>
    <row r="3" spans="1:4">
      <c r="A3" s="59" t="str">
        <f>B3&amp;"-"&amp;C3</f>
        <v>Conservador-PAPEL</v>
      </c>
      <c r="B3" s="2" t="s">
        <v>31</v>
      </c>
      <c r="C3" s="60" t="s">
        <v>23</v>
      </c>
      <c r="D3" s="61">
        <v>0.3</v>
      </c>
    </row>
    <row r="4" spans="1:4">
      <c r="A4" s="59" t="str">
        <f t="shared" ref="A4:A7" si="0">B4&amp;"-"&amp;C4</f>
        <v>Conservador-TIJOLO</v>
      </c>
      <c r="B4" s="2" t="s">
        <v>31</v>
      </c>
      <c r="C4" s="60" t="s">
        <v>24</v>
      </c>
      <c r="D4" s="61">
        <v>0.5</v>
      </c>
    </row>
    <row r="5" spans="1:4">
      <c r="A5" s="59" t="str">
        <f t="shared" si="0"/>
        <v>Conservador-HÍBRIDOS</v>
      </c>
      <c r="B5" s="2" t="s">
        <v>31</v>
      </c>
      <c r="C5" s="60" t="s">
        <v>25</v>
      </c>
      <c r="D5" s="61">
        <v>0.1</v>
      </c>
    </row>
    <row r="6" spans="1:4">
      <c r="A6" s="59" t="str">
        <f t="shared" si="0"/>
        <v>Conservador-FOFs</v>
      </c>
      <c r="B6" s="2" t="s">
        <v>31</v>
      </c>
      <c r="C6" s="60" t="s">
        <v>26</v>
      </c>
      <c r="D6" s="61">
        <v>0.1</v>
      </c>
    </row>
    <row r="7" spans="1:4">
      <c r="A7" s="59" t="str">
        <f t="shared" si="0"/>
        <v>Conservador-DESENVOLVIMENTO</v>
      </c>
      <c r="B7" s="2" t="s">
        <v>31</v>
      </c>
      <c r="C7" s="60" t="s">
        <v>27</v>
      </c>
      <c r="D7" s="61">
        <v>0</v>
      </c>
    </row>
    <row r="8" spans="1:4">
      <c r="A8" s="62" t="str">
        <f>B8&amp;"-"&amp;C8</f>
        <v>Conservador-HOTELARIAS</v>
      </c>
      <c r="B8" s="55" t="s">
        <v>31</v>
      </c>
      <c r="C8" s="56" t="s">
        <v>28</v>
      </c>
      <c r="D8" s="63">
        <v>0</v>
      </c>
    </row>
    <row r="9" spans="1:4">
      <c r="A9" s="59" t="str">
        <f t="shared" ref="A9:A20" si="1">B9&amp;"-"&amp;C9</f>
        <v>Moderado-PAPEL</v>
      </c>
      <c r="B9" s="2" t="s">
        <v>18</v>
      </c>
      <c r="C9" s="60" t="s">
        <v>23</v>
      </c>
      <c r="D9" s="61">
        <v>0.32</v>
      </c>
    </row>
    <row r="10" spans="1:4">
      <c r="A10" s="59" t="str">
        <f t="shared" si="1"/>
        <v>Moderado-TIJOLO</v>
      </c>
      <c r="B10" s="2" t="s">
        <v>18</v>
      </c>
      <c r="C10" s="60" t="s">
        <v>24</v>
      </c>
      <c r="D10" s="61">
        <v>0.35</v>
      </c>
    </row>
    <row r="11" spans="1:4">
      <c r="A11" s="59" t="str">
        <f t="shared" si="1"/>
        <v>Moderado-HÍBRIDOS</v>
      </c>
      <c r="B11" s="2" t="s">
        <v>18</v>
      </c>
      <c r="C11" s="60" t="s">
        <v>25</v>
      </c>
      <c r="D11" s="61">
        <v>0.08</v>
      </c>
    </row>
    <row r="12" spans="1:4">
      <c r="A12" s="59" t="str">
        <f t="shared" si="1"/>
        <v>Moderado-FOFs</v>
      </c>
      <c r="B12" s="2" t="s">
        <v>18</v>
      </c>
      <c r="C12" s="60" t="s">
        <v>26</v>
      </c>
      <c r="D12" s="61">
        <v>0.05</v>
      </c>
    </row>
    <row r="13" spans="1:4">
      <c r="A13" s="59" t="str">
        <f t="shared" si="1"/>
        <v>Moderado-DESENVOLVIMENTO</v>
      </c>
      <c r="B13" s="2" t="s">
        <v>18</v>
      </c>
      <c r="C13" s="60" t="s">
        <v>27</v>
      </c>
      <c r="D13" s="61">
        <v>0.1</v>
      </c>
    </row>
    <row r="14" spans="1:4">
      <c r="A14" s="62" t="str">
        <f t="shared" si="1"/>
        <v>Moderado-HOTELARIAS</v>
      </c>
      <c r="B14" s="55" t="s">
        <v>18</v>
      </c>
      <c r="C14" s="56" t="s">
        <v>28</v>
      </c>
      <c r="D14" s="63">
        <v>0.1</v>
      </c>
    </row>
    <row r="15" spans="1:4">
      <c r="A15" s="59" t="str">
        <f t="shared" si="1"/>
        <v>Agressivo-PAPEL</v>
      </c>
      <c r="B15" s="2" t="s">
        <v>32</v>
      </c>
      <c r="C15" s="60" t="s">
        <v>23</v>
      </c>
      <c r="D15" s="61">
        <v>0.5</v>
      </c>
    </row>
    <row r="16" spans="1:4">
      <c r="A16" s="59" t="str">
        <f t="shared" si="1"/>
        <v>Agressivo-TIJOLO</v>
      </c>
      <c r="B16" s="2" t="s">
        <v>32</v>
      </c>
      <c r="C16" s="60" t="s">
        <v>24</v>
      </c>
      <c r="D16" s="61">
        <v>0.1</v>
      </c>
    </row>
    <row r="17" spans="1:4">
      <c r="A17" s="59" t="str">
        <f t="shared" si="1"/>
        <v>Agressivo-HÍBRIDOS</v>
      </c>
      <c r="B17" s="2" t="s">
        <v>32</v>
      </c>
      <c r="C17" s="60" t="s">
        <v>25</v>
      </c>
      <c r="D17" s="61">
        <v>0.05</v>
      </c>
    </row>
    <row r="18" spans="1:4">
      <c r="A18" s="59" t="str">
        <f t="shared" si="1"/>
        <v>Agressivo-FOFs</v>
      </c>
      <c r="B18" s="2" t="s">
        <v>32</v>
      </c>
      <c r="C18" s="60" t="s">
        <v>26</v>
      </c>
      <c r="D18" s="61">
        <v>0.05</v>
      </c>
    </row>
    <row r="19" spans="1:4">
      <c r="A19" s="59" t="str">
        <f t="shared" si="1"/>
        <v>Agressivo-DESENVOLVIMENTO</v>
      </c>
      <c r="B19" s="2" t="s">
        <v>32</v>
      </c>
      <c r="C19" s="60" t="s">
        <v>27</v>
      </c>
      <c r="D19" s="61">
        <v>0.2</v>
      </c>
    </row>
    <row r="20" spans="1:4">
      <c r="A20" s="62" t="str">
        <f t="shared" si="1"/>
        <v>Agressivo-HOTELARIAS</v>
      </c>
      <c r="B20" s="55" t="s">
        <v>32</v>
      </c>
      <c r="C20" s="56" t="s">
        <v>28</v>
      </c>
      <c r="D20" s="6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2026-01-03T23:26:15Z</dcterms:created>
  <dcterms:modified xsi:type="dcterms:W3CDTF">2026-01-04T02:25:42Z</dcterms:modified>
  <cp:category/>
  <cp:contentStatus/>
</cp:coreProperties>
</file>